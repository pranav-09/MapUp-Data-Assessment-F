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ranav...!!\Downloads\"/>
    </mc:Choice>
  </mc:AlternateContent>
  <xr:revisionPtr revIDLastSave="0" documentId="13_ncr:1_{2CCA67AE-0BF3-4BA3-AC6E-A65B874E2B3E}" xr6:coauthVersionLast="47" xr6:coauthVersionMax="47" xr10:uidLastSave="{00000000-0000-0000-0000-000000000000}"/>
  <bookViews>
    <workbookView xWindow="0" yWindow="450" windowWidth="20490" windowHeight="11070" tabRatio="849" activeTab="5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81029"/>
</workbook>
</file>

<file path=xl/calcChain.xml><?xml version="1.0" encoding="utf-8"?>
<calcChain xmlns="http://schemas.openxmlformats.org/spreadsheetml/2006/main">
  <c r="C29" i="18" l="1"/>
  <c r="D29" i="18"/>
  <c r="F29" i="18"/>
  <c r="B29" i="18"/>
  <c r="C28" i="18"/>
  <c r="D28" i="18"/>
  <c r="F28" i="18"/>
  <c r="B28" i="18"/>
  <c r="F30" i="18"/>
  <c r="D30" i="18"/>
  <c r="C30" i="18"/>
  <c r="B30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30" i="18" s="1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E29" i="18" s="1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7" i="18"/>
  <c r="B8" i="18"/>
  <c r="B9" i="18"/>
  <c r="B10" i="18"/>
  <c r="B6" i="18"/>
  <c r="H41" i="1"/>
  <c r="E28" i="18" l="1"/>
</calcChain>
</file>

<file path=xl/sharedStrings.xml><?xml version="1.0" encoding="utf-8"?>
<sst xmlns="http://schemas.openxmlformats.org/spreadsheetml/2006/main" count="402" uniqueCount="179">
  <si>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</si>
  <si>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</si>
  <si>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</si>
  <si>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</si>
  <si>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</si>
  <si>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</si>
  <si>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</si>
  <si>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</si>
  <si>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</si>
  <si>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</si>
  <si>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</si>
  <si>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</si>
  <si>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</si>
  <si>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</si>
  <si>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</si>
  <si>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</si>
  <si>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</si>
  <si>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</si>
  <si>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</si>
  <si>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</si>
  <si>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</si>
  <si>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</si>
  <si>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</si>
  <si>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</si>
  <si>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</si>
  <si>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</si>
  <si>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</si>
  <si>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</si>
  <si>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</si>
  <si>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</si>
  <si>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</si>
  <si>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</si>
  <si>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</si>
  <si>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</si>
  <si>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</si>
  <si>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</si>
  <si>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</si>
  <si>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</si>
  <si>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</si>
  <si>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</si>
  <si>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</si>
  <si>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</si>
  <si>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</si>
  <si>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</si>
  <si>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</si>
  <si>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</si>
  <si>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</si>
  <si>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</si>
  <si>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</si>
  <si>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</si>
  <si>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</si>
  <si>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</si>
  <si>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</si>
  <si>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</si>
  <si>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</si>
  <si>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</si>
  <si>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</si>
  <si>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</si>
  <si>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</si>
  <si>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</si>
  <si>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</si>
  <si>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</si>
  <si>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</si>
  <si>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</si>
  <si>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</si>
  <si>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</si>
  <si>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</si>
  <si>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</si>
  <si>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</si>
  <si>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</si>
  <si>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</si>
  <si>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</si>
  <si>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</si>
  <si>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</si>
  <si>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</si>
  <si>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</si>
  <si>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</si>
  <si>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</si>
  <si>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</si>
  <si>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</si>
  <si>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</si>
  <si>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</si>
  <si>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</si>
  <si>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</si>
  <si>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</si>
  <si>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</si>
  <si>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</si>
  <si>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</si>
  <si>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</si>
  <si>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</si>
  <si>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</si>
  <si>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</si>
  <si>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</si>
  <si>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</si>
  <si>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</si>
  <si>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</si>
  <si>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</si>
  <si>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</si>
  <si>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</si>
  <si>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</si>
  <si>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</si>
  <si>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</si>
  <si>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</si>
  <si>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</si>
  <si>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</si>
  <si>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</si>
  <si>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</si>
  <si>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</si>
  <si>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</si>
  <si>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</si>
  <si>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</si>
  <si>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</si>
  <si>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</si>
  <si>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</si>
  <si>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</si>
  <si>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</si>
  <si>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</si>
  <si>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</si>
  <si>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</si>
  <si>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</si>
  <si>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</si>
  <si>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</si>
  <si>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</si>
  <si>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</si>
  <si>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</si>
  <si>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</si>
  <si>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</si>
  <si>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</si>
  <si>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</si>
  <si>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</si>
  <si>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</si>
  <si>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</si>
  <si>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</si>
  <si>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</si>
  <si>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</si>
  <si>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</si>
  <si>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</si>
  <si>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</si>
  <si>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</si>
  <si>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</si>
  <si>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</si>
  <si>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</si>
  <si>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</si>
  <si>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</si>
  <si>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</si>
  <si>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</si>
  <si>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</si>
  <si>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</si>
  <si>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</si>
  <si>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</si>
  <si>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</si>
  <si>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</si>
  <si>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</si>
  <si>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</si>
  <si>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</si>
  <si>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</si>
  <si>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</si>
  <si>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</si>
  <si>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</si>
  <si>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</si>
  <si>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</si>
  <si>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</si>
  <si>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</si>
  <si>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</si>
  <si>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</si>
  <si>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</si>
  <si>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</si>
  <si>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</si>
  <si>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</si>
  <si>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</si>
  <si>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</si>
  <si>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</si>
  <si>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</si>
  <si>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</si>
  <si>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</si>
  <si>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</si>
  <si>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</si>
  <si>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=SUMIF(H2:H40, "&gt;20")'</t>
  </si>
  <si>
    <t>=SUMIF(C12:C21, "&lt;&gt;#N/A", IFERROR(C12:C21, 20))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</si>
</sst>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14" fillId="0" borderId="0" xfId="0" quotePrefix="1" applyFont="1"/>
    <xf numFmtId="166" fontId="7" fillId="0" borderId="0" xfId="0" applyNumberFormat="1" applyFont="1"/>
    <xf numFmtId="166" fontId="3" fillId="0" borderId="0" xfId="0" applyNumberFormat="1" applyFont="1"/>
    <xf numFmtId="0" fontId="8" fillId="0" borderId="1" xfId="0" quotePrefix="1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theme="9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A2" sqref="A2"/>
    </sheetView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7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4" t="s">
        <v>171</v>
      </c>
      <c r="B9" s="25" t="s">
        <v>169</v>
      </c>
    </row>
    <row r="10" spans="1:3" x14ac:dyDescent="0.2">
      <c r="A10" s="33" t="s">
        <v>172</v>
      </c>
      <c r="B10" s="35">
        <v>25</v>
      </c>
    </row>
    <row r="11" spans="1:3" x14ac:dyDescent="0.2">
      <c r="A11" s="33" t="s">
        <v>55</v>
      </c>
      <c r="B11" s="35">
        <v>30</v>
      </c>
    </row>
    <row r="12" spans="1:3" x14ac:dyDescent="0.2">
      <c r="A12" s="33" t="s">
        <v>56</v>
      </c>
      <c r="B12" s="35">
        <v>10</v>
      </c>
    </row>
    <row r="13" spans="1:3" x14ac:dyDescent="0.2">
      <c r="A13" s="33" t="s">
        <v>85</v>
      </c>
      <c r="B13" s="35">
        <v>20</v>
      </c>
    </row>
    <row r="14" spans="1:3" x14ac:dyDescent="0.2">
      <c r="A14" s="33" t="s">
        <v>98</v>
      </c>
      <c r="B14" s="35">
        <v>40</v>
      </c>
    </row>
    <row r="15" spans="1:3" x14ac:dyDescent="0.2">
      <c r="A15" s="36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opLeftCell="J1" zoomScaleNormal="100" workbookViewId="0">
      <pane ySplit="1" topLeftCell="A2" activePane="bottomLeft" state="frozen"/>
      <selection pane="bottomLeft" activeCell="W1" sqref="W1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3" customWidth="1"/>
    <col min="5" max="5" width="9.1640625" style="1" bestFit="1" customWidth="1"/>
    <col min="6" max="6" width="10.33203125" style="23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6" bestFit="1" customWidth="1"/>
    <col min="25" max="16384" width="9" style="1"/>
  </cols>
  <sheetData>
    <row r="1" spans="1:24" s="3" customFormat="1" ht="14.85" customHeight="1" x14ac:dyDescent="0.2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5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1" spans="1:24" x14ac:dyDescent="0.25">
      <c r="H41" s="1">
        <f>SUMIF(H2:H40, "&gt;20")</f>
        <v>1473.0000000000002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1:W1048576">
    <cfRule type="cellIs" dxfId="1" priority="2" operator="equal">
      <formula>-1</formula>
    </cfRule>
  </conditionalFormatting>
  <conditionalFormatting sqref="G1:W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defaultColWidth="11" defaultRowHeight="15" x14ac:dyDescent="0.25"/>
  <cols>
    <col min="1" max="1" width="8.33203125" style="1" bestFit="1" customWidth="1"/>
    <col min="2" max="2" width="72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44" t="s">
        <v>177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3" zoomScaleNormal="100" workbookViewId="0">
      <selection activeCell="F29" sqref="F29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39" customFormat="1" ht="21" x14ac:dyDescent="0.35">
      <c r="A1" s="40" t="s">
        <v>55</v>
      </c>
      <c r="B1" s="39" t="s">
        <v>164</v>
      </c>
    </row>
    <row r="2" spans="1:7" s="39" customFormat="1" ht="21" x14ac:dyDescent="0.35">
      <c r="B2" s="39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7" t="s">
        <v>162</v>
      </c>
      <c r="B4" s="1"/>
      <c r="C4" s="1"/>
      <c r="D4" s="1"/>
      <c r="E4" s="1"/>
      <c r="F4" s="1"/>
      <c r="G4" s="1"/>
    </row>
    <row r="5" spans="1:7" ht="15" x14ac:dyDescent="0.2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5" x14ac:dyDescent="0.25">
      <c r="A6" s="7" t="s">
        <v>40</v>
      </c>
      <c r="B6" s="11">
        <f>VLOOKUP(A6,Dataset!A2:G40, 7,FALSE )</f>
        <v>2.7</v>
      </c>
      <c r="C6" s="11">
        <f>VLOOKUP(A6,Dataset!A2:N40, 14,FALSE )</f>
        <v>7.6</v>
      </c>
      <c r="D6" s="11">
        <f>VLOOKUP(A6,Dataset!A2:R40, 18,FALSE )</f>
        <v>4.2</v>
      </c>
      <c r="E6" s="11">
        <f>VLOOKUP(A6,Dataset!A2:'Dataset'!A1:T40, 20,FALSE )</f>
        <v>8.9</v>
      </c>
      <c r="F6" s="11">
        <f>VLOOKUP(A6,Dataset!A2:V40, 22,FALSE )</f>
        <v>4.2</v>
      </c>
    </row>
    <row r="7" spans="1:7" ht="15" x14ac:dyDescent="0.25">
      <c r="A7" s="7" t="s">
        <v>4</v>
      </c>
      <c r="B7" s="11">
        <f>VLOOKUP(A7,Dataset!A3:G41, 7,FALSE )</f>
        <v>2.7</v>
      </c>
      <c r="C7" s="11">
        <f>VLOOKUP(A7,Dataset!A3:N41, 14,FALSE )</f>
        <v>7.6</v>
      </c>
      <c r="D7" s="11">
        <f>VLOOKUP(A7,Dataset!A3:R41, 18,FALSE )</f>
        <v>4.2</v>
      </c>
      <c r="E7" s="11">
        <f>VLOOKUP(A7,Dataset!A3:'Dataset'!A2:T41, 20,FALSE )</f>
        <v>8.9</v>
      </c>
      <c r="F7" s="11">
        <f>VLOOKUP(A7,Dataset!A3:V41, 22,FALSE )</f>
        <v>4.2</v>
      </c>
    </row>
    <row r="8" spans="1:7" ht="15" x14ac:dyDescent="0.25">
      <c r="A8" s="7" t="s">
        <v>7</v>
      </c>
      <c r="B8" s="11">
        <f>VLOOKUP(A8,Dataset!A4:G42, 7,FALSE )</f>
        <v>3.6</v>
      </c>
      <c r="C8" s="11">
        <f>VLOOKUP(A8,Dataset!A4:N42, 14,FALSE )</f>
        <v>11.1</v>
      </c>
      <c r="D8" s="11">
        <f>VLOOKUP(A8,Dataset!A4:R42, 18,FALSE )</f>
        <v>5.8</v>
      </c>
      <c r="E8" s="11">
        <f>VLOOKUP(A8,Dataset!A4:'Dataset'!A3:T42, 20,FALSE )</f>
        <v>12.2</v>
      </c>
      <c r="F8" s="11">
        <f>VLOOKUP(A8,Dataset!A4:V42, 22,FALSE )</f>
        <v>5.8</v>
      </c>
    </row>
    <row r="9" spans="1:7" ht="15" x14ac:dyDescent="0.25">
      <c r="A9" s="7" t="s">
        <v>8</v>
      </c>
      <c r="B9" s="11">
        <f>VLOOKUP(A9,Dataset!A5:G43, 7,FALSE )</f>
        <v>4.9000000000000004</v>
      </c>
      <c r="C9" s="11">
        <f>VLOOKUP(A9,Dataset!A5:N43, 14,FALSE )</f>
        <v>13.3</v>
      </c>
      <c r="D9" s="11">
        <f>VLOOKUP(A9,Dataset!A5:R43, 18,FALSE )</f>
        <v>8.1</v>
      </c>
      <c r="E9" s="11">
        <f>VLOOKUP(A9,Dataset!A5:'Dataset'!A4:T43, 20,FALSE )</f>
        <v>17</v>
      </c>
      <c r="F9" s="11">
        <f>VLOOKUP(A9,Dataset!A5:V43, 22,FALSE )</f>
        <v>8.1</v>
      </c>
    </row>
    <row r="10" spans="1:7" ht="15" x14ac:dyDescent="0.25">
      <c r="A10" s="7" t="s">
        <v>11</v>
      </c>
      <c r="B10" s="11">
        <f>VLOOKUP(A10,Dataset!A6:G44, 7,FALSE )</f>
        <v>9.4</v>
      </c>
      <c r="C10" s="11">
        <f>VLOOKUP(A10,Dataset!A6:N44, 14,FALSE )</f>
        <v>28.3</v>
      </c>
      <c r="D10" s="11">
        <f>VLOOKUP(A10,Dataset!A6:R44, 18,FALSE )</f>
        <v>16.100000000000001</v>
      </c>
      <c r="E10" s="11">
        <f>VLOOKUP(A10,Dataset!A6:'Dataset'!A5:T44, 20,FALSE )</f>
        <v>32.799999999999997</v>
      </c>
      <c r="F10" s="11">
        <f>VLOOKUP(A10,Dataset!A6:V44, 22,FALSE )</f>
        <v>16.100000000000001</v>
      </c>
    </row>
    <row r="11" spans="1:7" ht="15" x14ac:dyDescent="0.25">
      <c r="A11" s="7" t="s">
        <v>12</v>
      </c>
      <c r="B11" s="11">
        <f>VLOOKUP(A11,Dataset!A7:G45, 7,FALSE )</f>
        <v>11.6</v>
      </c>
      <c r="C11" s="11">
        <f>VLOOKUP(A11,Dataset!A7:N45, 14,FALSE )</f>
        <v>35.200000000000003</v>
      </c>
      <c r="D11" s="11">
        <f>VLOOKUP(A11,Dataset!A7:R45, 18,FALSE )</f>
        <v>21.3</v>
      </c>
      <c r="E11" s="11">
        <f>VLOOKUP(A11,Dataset!A7:'Dataset'!A6:T45, 20,FALSE )</f>
        <v>43</v>
      </c>
      <c r="F11" s="11">
        <f>VLOOKUP(A11,Dataset!A7:V45, 22,FALSE )</f>
        <v>21.3</v>
      </c>
    </row>
    <row r="12" spans="1:7" ht="15" x14ac:dyDescent="0.25">
      <c r="A12" s="7" t="s">
        <v>14</v>
      </c>
      <c r="B12" s="11">
        <f>VLOOKUP(A12,Dataset!A8:G46, 7,FALSE )</f>
        <v>18.399999999999999</v>
      </c>
      <c r="C12" s="11">
        <f>VLOOKUP(A12,Dataset!A8:N46, 14,FALSE )</f>
        <v>55.6</v>
      </c>
      <c r="D12" s="11">
        <f>VLOOKUP(A12,Dataset!A8:R46, 18,FALSE )</f>
        <v>33.799999999999997</v>
      </c>
      <c r="E12" s="11">
        <f>VLOOKUP(A12,Dataset!A8:'Dataset'!A7:T46, 20,FALSE )</f>
        <v>67.900000000000006</v>
      </c>
      <c r="F12" s="11">
        <f>VLOOKUP(A12,Dataset!A8:V46, 22,FALSE )</f>
        <v>33.799999999999997</v>
      </c>
    </row>
    <row r="13" spans="1:7" ht="15" x14ac:dyDescent="0.25">
      <c r="A13" s="7" t="s">
        <v>15</v>
      </c>
      <c r="B13" s="11">
        <f>VLOOKUP(A13,Dataset!A9:G47, 7,FALSE )</f>
        <v>0</v>
      </c>
      <c r="C13" s="11">
        <f>VLOOKUP(A13,Dataset!A9:N47, 14,FALSE )</f>
        <v>0</v>
      </c>
      <c r="D13" s="11">
        <f>VLOOKUP(A13,Dataset!A9:R47, 18,FALSE )</f>
        <v>0</v>
      </c>
      <c r="E13" s="11">
        <f>VLOOKUP(A13,Dataset!A9:'Dataset'!A8:T47, 20,FALSE )</f>
        <v>0</v>
      </c>
      <c r="F13" s="11">
        <f>VLOOKUP(A13,Dataset!A9:V47, 22,FALSE )</f>
        <v>0</v>
      </c>
    </row>
    <row r="14" spans="1:7" ht="15" x14ac:dyDescent="0.25">
      <c r="A14" s="7" t="s">
        <v>16</v>
      </c>
      <c r="B14" s="11">
        <f>VLOOKUP(A14,Dataset!A10:G48, 7,FALSE )</f>
        <v>21.9</v>
      </c>
      <c r="C14" s="11">
        <f>VLOOKUP(A14,Dataset!A10:N48, 14,FALSE )</f>
        <v>61.5</v>
      </c>
      <c r="D14" s="11">
        <f>VLOOKUP(A14,Dataset!A10:R48, 18,FALSE )</f>
        <v>40.1</v>
      </c>
      <c r="E14" s="11">
        <f>VLOOKUP(A14,Dataset!A10:'Dataset'!A9:T48, 20,FALSE )</f>
        <v>76.599999999999994</v>
      </c>
      <c r="F14" s="11">
        <f>VLOOKUP(A14,Dataset!A10:V48, 22,FALSE )</f>
        <v>40.1</v>
      </c>
    </row>
    <row r="15" spans="1:7" ht="15" x14ac:dyDescent="0.25">
      <c r="A15" s="7" t="s">
        <v>18</v>
      </c>
      <c r="B15" s="11">
        <f>VLOOKUP(A15,Dataset!A11:G49, 7,FALSE )</f>
        <v>26.8</v>
      </c>
      <c r="C15" s="11">
        <f>VLOOKUP(A15,Dataset!A11:N49, 14,FALSE )</f>
        <v>79.599999999999994</v>
      </c>
      <c r="D15" s="11">
        <f>VLOOKUP(A15,Dataset!A11:R49, 18,FALSE )</f>
        <v>47.9</v>
      </c>
      <c r="E15" s="11">
        <f>VLOOKUP(A15,Dataset!A11:'Dataset'!A10:T49, 20,FALSE )</f>
        <v>96.8</v>
      </c>
      <c r="F15" s="11">
        <f>VLOOKUP(A15,Dataset!A11:V49, 22,FALSE )</f>
        <v>47.9</v>
      </c>
    </row>
    <row r="16" spans="1:7" ht="15" x14ac:dyDescent="0.25">
      <c r="A16" s="7" t="s">
        <v>20</v>
      </c>
      <c r="B16" s="11">
        <f>VLOOKUP(A16,Dataset!A12:G50, 7,FALSE )</f>
        <v>28.5</v>
      </c>
      <c r="C16" s="11">
        <f>VLOOKUP(A16,Dataset!A12:N50, 14,FALSE )</f>
        <v>85.4</v>
      </c>
      <c r="D16" s="11">
        <f>VLOOKUP(A16,Dataset!A12:R50, 18,FALSE )</f>
        <v>52.3</v>
      </c>
      <c r="E16" s="11">
        <f>VLOOKUP(A16,Dataset!A12:'Dataset'!A11:T50, 20,FALSE )</f>
        <v>106.1</v>
      </c>
      <c r="F16" s="11">
        <f>VLOOKUP(A16,Dataset!A12:V50, 22,FALSE )</f>
        <v>52.3</v>
      </c>
    </row>
    <row r="17" spans="1:6" ht="15" x14ac:dyDescent="0.25">
      <c r="A17" s="7" t="s">
        <v>22</v>
      </c>
      <c r="B17" s="11">
        <f>VLOOKUP(A17,Dataset!A13:G51, 7,FALSE )</f>
        <v>30.7</v>
      </c>
      <c r="C17" s="11">
        <f>VLOOKUP(A17,Dataset!A13:N51, 14,FALSE )</f>
        <v>92.1</v>
      </c>
      <c r="D17" s="11">
        <f>VLOOKUP(A17,Dataset!A13:R51, 18,FALSE )</f>
        <v>57</v>
      </c>
      <c r="E17" s="11">
        <f>VLOOKUP(A17,Dataset!A13:'Dataset'!A12:T51, 20,FALSE )</f>
        <v>115.1</v>
      </c>
      <c r="F17" s="11">
        <f>VLOOKUP(A17,Dataset!A13:V51, 22,FALSE )</f>
        <v>57</v>
      </c>
    </row>
    <row r="18" spans="1:6" ht="15" x14ac:dyDescent="0.25">
      <c r="A18" s="7" t="s">
        <v>23</v>
      </c>
      <c r="B18" s="11">
        <f>VLOOKUP(A18,Dataset!A14:G52, 7,FALSE )</f>
        <v>33.799999999999997</v>
      </c>
      <c r="C18" s="11">
        <f>VLOOKUP(A18,Dataset!A14:N52, 14,FALSE )</f>
        <v>101.3</v>
      </c>
      <c r="D18" s="11">
        <f>VLOOKUP(A18,Dataset!A14:R52, 18,FALSE )</f>
        <v>61.4</v>
      </c>
      <c r="E18" s="11">
        <f>VLOOKUP(A18,Dataset!A14:'Dataset'!A13:T52, 20,FALSE )</f>
        <v>124.4</v>
      </c>
      <c r="F18" s="11">
        <f>VLOOKUP(A18,Dataset!A14:V52, 22,FALSE )</f>
        <v>61.4</v>
      </c>
    </row>
    <row r="19" spans="1:6" ht="15" x14ac:dyDescent="0.25">
      <c r="A19" s="7" t="s">
        <v>24</v>
      </c>
      <c r="B19" s="11">
        <f>VLOOKUP(A19,Dataset!A15:G53, 7,FALSE )</f>
        <v>34.700000000000003</v>
      </c>
      <c r="C19" s="11">
        <f>VLOOKUP(A19,Dataset!A15:N53, 14,FALSE )</f>
        <v>106.1</v>
      </c>
      <c r="D19" s="11">
        <f>VLOOKUP(A19,Dataset!A15:R53, 18,FALSE )</f>
        <v>63.6</v>
      </c>
      <c r="E19" s="11">
        <f>VLOOKUP(A19,Dataset!A15:'Dataset'!A14:T53, 20,FALSE )</f>
        <v>128.6</v>
      </c>
      <c r="F19" s="11">
        <f>VLOOKUP(A19,Dataset!A15:V53, 22,FALSE )</f>
        <v>63.6</v>
      </c>
    </row>
    <row r="20" spans="1:6" ht="15" x14ac:dyDescent="0.25">
      <c r="A20" s="7" t="s">
        <v>28</v>
      </c>
      <c r="B20" s="11">
        <f>VLOOKUP(A20,Dataset!A16:G54, 7,FALSE )</f>
        <v>0</v>
      </c>
      <c r="C20" s="11">
        <f>VLOOKUP(A20,Dataset!A16:N54, 14,FALSE )</f>
        <v>0</v>
      </c>
      <c r="D20" s="11">
        <f>VLOOKUP(A20,Dataset!A16:R54, 18,FALSE )</f>
        <v>0</v>
      </c>
      <c r="E20" s="11">
        <f>VLOOKUP(A20,Dataset!A16:'Dataset'!A15:T54, 20,FALSE )</f>
        <v>0</v>
      </c>
      <c r="F20" s="11">
        <f>VLOOKUP(A20,Dataset!A16:V54, 22,FALSE )</f>
        <v>0</v>
      </c>
    </row>
    <row r="21" spans="1:6" ht="15" x14ac:dyDescent="0.25">
      <c r="A21" s="7" t="s">
        <v>57</v>
      </c>
      <c r="B21" s="11">
        <f>VLOOKUP(A21,Dataset!A17:G55, 7,FALSE )</f>
        <v>41.3</v>
      </c>
      <c r="C21" s="11">
        <f>VLOOKUP(A21,Dataset!A17:N55, 14,FALSE )</f>
        <v>124.4</v>
      </c>
      <c r="D21" s="11">
        <f>VLOOKUP(A21,Dataset!A17:R55, 18,FALSE )</f>
        <v>75</v>
      </c>
      <c r="E21" s="11">
        <f>VLOOKUP(A21,Dataset!A17:'Dataset'!A16:T55, 20,FALSE )</f>
        <v>151.5</v>
      </c>
      <c r="F21" s="11">
        <f>VLOOKUP(A21,Dataset!A17:V55, 22,FALSE )</f>
        <v>75</v>
      </c>
    </row>
    <row r="22" spans="1:6" ht="15" x14ac:dyDescent="0.25">
      <c r="A22" s="7" t="s">
        <v>58</v>
      </c>
      <c r="B22" s="11">
        <f>VLOOKUP(A22,Dataset!A18:G56, 7,FALSE )</f>
        <v>-1</v>
      </c>
      <c r="C22" s="11">
        <f>VLOOKUP(A22,Dataset!A18:N56, 14,FALSE )</f>
        <v>-1</v>
      </c>
      <c r="D22" s="11">
        <f>VLOOKUP(A22,Dataset!A18:R56, 18,FALSE )</f>
        <v>-1</v>
      </c>
      <c r="E22" s="11">
        <f>VLOOKUP(A22,Dataset!A18:'Dataset'!A17:T56, 20,FALSE )</f>
        <v>-1</v>
      </c>
      <c r="F22" s="11">
        <f>VLOOKUP(A22,Dataset!A18:V56, 22,FALSE )</f>
        <v>-1</v>
      </c>
    </row>
    <row r="23" spans="1:6" ht="15" x14ac:dyDescent="0.25">
      <c r="A23" s="7" t="s">
        <v>31</v>
      </c>
      <c r="B23" s="11">
        <f>VLOOKUP(A23,Dataset!A19:G57, 7,FALSE )</f>
        <v>45</v>
      </c>
      <c r="C23" s="11">
        <f>VLOOKUP(A23,Dataset!A19:N57, 14,FALSE )</f>
        <v>133.4</v>
      </c>
      <c r="D23" s="11">
        <f>VLOOKUP(A23,Dataset!A19:R57, 18,FALSE )</f>
        <v>79.400000000000006</v>
      </c>
      <c r="E23" s="11">
        <f>VLOOKUP(A23,Dataset!A19:'Dataset'!A18:T57, 20,FALSE )</f>
        <v>160.9</v>
      </c>
      <c r="F23" s="11">
        <f>VLOOKUP(A23,Dataset!A19:V57, 22,FALSE )</f>
        <v>79.400000000000006</v>
      </c>
    </row>
    <row r="24" spans="1:6" ht="15" x14ac:dyDescent="0.25">
      <c r="A24" s="7" t="s">
        <v>32</v>
      </c>
      <c r="B24" s="11">
        <f>VLOOKUP(A24,Dataset!A20:G58, 7,FALSE )</f>
        <v>-1</v>
      </c>
      <c r="C24" s="11">
        <f>VLOOKUP(A24,Dataset!A20:N58, 14,FALSE )</f>
        <v>-1</v>
      </c>
      <c r="D24" s="11">
        <f>VLOOKUP(A24,Dataset!A20:R58, 18,FALSE )</f>
        <v>-1</v>
      </c>
      <c r="E24" s="11">
        <f>VLOOKUP(A24,Dataset!A20:'Dataset'!A19:T58, 20,FALSE )</f>
        <v>-1</v>
      </c>
      <c r="F24" s="11">
        <f>VLOOKUP(A24,Dataset!A20:V58, 22,FALSE )</f>
        <v>-1</v>
      </c>
    </row>
    <row r="25" spans="1:6" ht="15" x14ac:dyDescent="0.25">
      <c r="A25" s="7" t="s">
        <v>34</v>
      </c>
      <c r="B25" s="11">
        <f>VLOOKUP(A25,Dataset!A21:G59, 7,FALSE )</f>
        <v>43.3</v>
      </c>
      <c r="C25" s="11">
        <f>VLOOKUP(A25,Dataset!A21:N59, 14,FALSE )</f>
        <v>128.6</v>
      </c>
      <c r="D25" s="11">
        <f>VLOOKUP(A25,Dataset!A21:R59, 18,FALSE )</f>
        <v>79.400000000000006</v>
      </c>
      <c r="E25" s="11">
        <f>VLOOKUP(A25,Dataset!A21:'Dataset'!A20:T59, 20,FALSE )</f>
        <v>160.9</v>
      </c>
      <c r="F25" s="11">
        <f>VLOOKUP(A25,Dataset!A21:V59, 22,FALSE )</f>
        <v>79.400000000000006</v>
      </c>
    </row>
    <row r="26" spans="1:6" ht="15" x14ac:dyDescent="0.25">
      <c r="A26" s="7" t="s">
        <v>37</v>
      </c>
      <c r="B26" s="11">
        <f>VLOOKUP(A26,Dataset!A22:G60, 7,FALSE )</f>
        <v>49.1</v>
      </c>
      <c r="C26" s="11">
        <f>VLOOKUP(A26,Dataset!A22:N60, 14,FALSE )</f>
        <v>146.80000000000001</v>
      </c>
      <c r="D26" s="11">
        <f>VLOOKUP(A26,Dataset!A22:R60, 18,FALSE )</f>
        <v>90.9</v>
      </c>
      <c r="E26" s="11">
        <f>VLOOKUP(A26,Dataset!A22:'Dataset'!A21:T60, 20,FALSE )</f>
        <v>183.5</v>
      </c>
      <c r="F26" s="11">
        <f>VLOOKUP(A26,Dataset!A22:V60, 22,FALSE )</f>
        <v>90.9</v>
      </c>
    </row>
    <row r="27" spans="1:6" ht="15" x14ac:dyDescent="0.25">
      <c r="A27" s="7" t="s">
        <v>39</v>
      </c>
      <c r="B27" s="11">
        <f>VLOOKUP(A27,Dataset!A23:G61, 7,FALSE )</f>
        <v>51.8</v>
      </c>
      <c r="C27" s="11">
        <f>VLOOKUP(A27,Dataset!A23:N61, 14,FALSE )</f>
        <v>156.4</v>
      </c>
      <c r="D27" s="11">
        <f>VLOOKUP(A27,Dataset!A23:R61, 18,FALSE )</f>
        <v>93.1</v>
      </c>
      <c r="E27" s="11">
        <f>VLOOKUP(A27,Dataset!A23:'Dataset'!A22:T61, 20,FALSE )</f>
        <v>188.1</v>
      </c>
      <c r="F27" s="11">
        <f>VLOOKUP(A27,Dataset!A23:V61, 22,FALSE )</f>
        <v>93.1</v>
      </c>
    </row>
    <row r="28" spans="1:6" ht="15" x14ac:dyDescent="0.25">
      <c r="A28" s="18" t="s">
        <v>82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5" x14ac:dyDescent="0.25">
      <c r="A29" s="18" t="s">
        <v>83</v>
      </c>
      <c r="B29" s="30">
        <f>MAX(B6:B27)</f>
        <v>51.8</v>
      </c>
      <c r="C29" s="30">
        <f t="shared" ref="C29:F29" si="1">MAX(C6:C27)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5" x14ac:dyDescent="0.25">
      <c r="A30" s="18" t="s">
        <v>84</v>
      </c>
      <c r="B30" s="30">
        <f>AVERAGE(B6:B27)</f>
        <v>20.827272727272728</v>
      </c>
      <c r="C30" s="30">
        <f>AVERAGE(C6:C27)</f>
        <v>62.377272727272725</v>
      </c>
      <c r="D30" s="30">
        <f>AVERAGE(D6:D27)</f>
        <v>37.800000000000004</v>
      </c>
      <c r="E30" s="30">
        <f>AVERAGE(E6:E27)</f>
        <v>76.418181818181822</v>
      </c>
      <c r="F30" s="30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2" zoomScaleNormal="100" workbookViewId="0">
      <selection activeCell="A17" sqref="A17:A54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39" customFormat="1" ht="21" x14ac:dyDescent="0.35">
      <c r="A1" s="40" t="s">
        <v>56</v>
      </c>
      <c r="B1" s="39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1" t="s">
        <v>53</v>
      </c>
      <c r="B5" s="38"/>
    </row>
    <row r="6" spans="1:10" ht="18.75" x14ac:dyDescent="0.3">
      <c r="A6" s="41" t="s">
        <v>153</v>
      </c>
      <c r="B6" s="38"/>
    </row>
    <row r="7" spans="1:10" ht="18.75" x14ac:dyDescent="0.3">
      <c r="A7" s="41"/>
      <c r="B7" s="38"/>
    </row>
    <row r="9" spans="1:10" ht="23.25" x14ac:dyDescent="0.35">
      <c r="A9" s="17" t="s">
        <v>165</v>
      </c>
      <c r="I9" s="2"/>
      <c r="J9" s="2"/>
    </row>
    <row r="10" spans="1:10" x14ac:dyDescent="0.2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25">
      <c r="A11" s="8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25" x14ac:dyDescent="0.35">
      <c r="A14" s="17" t="s">
        <v>162</v>
      </c>
    </row>
    <row r="15" spans="1:10" x14ac:dyDescent="0.2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25">
      <c r="A16" s="7" t="s">
        <v>121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25">
      <c r="A17" s="7" t="s">
        <v>122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25">
      <c r="A18" s="7" t="s">
        <v>123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25">
      <c r="A19" s="7" t="s">
        <v>124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25">
      <c r="A20" s="7" t="s">
        <v>125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25">
      <c r="A21" s="7" t="s">
        <v>126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25">
      <c r="A22" s="7" t="s">
        <v>127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25">
      <c r="A23" s="7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25">
      <c r="A24" s="7" t="s">
        <v>129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25">
      <c r="A25" s="7" t="s">
        <v>130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25">
      <c r="A26" s="7" t="s">
        <v>131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25">
      <c r="A27" s="7" t="s">
        <v>132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25">
      <c r="A28" s="7" t="s">
        <v>133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25">
      <c r="A29" s="7" t="s">
        <v>134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25">
      <c r="A30" s="7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25">
      <c r="A31" s="7" t="s">
        <v>136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25">
      <c r="A32" s="7" t="s">
        <v>137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25">
      <c r="A33" s="7" t="s">
        <v>138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25">
      <c r="A34" s="7" t="s">
        <v>139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25">
      <c r="A35" s="7" t="s">
        <v>140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25">
      <c r="A36" s="7" t="s">
        <v>141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25">
      <c r="A37" s="7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25">
      <c r="A38" s="7" t="s">
        <v>143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25">
      <c r="A39" s="7" t="s">
        <v>144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25">
      <c r="A40" s="7" t="s">
        <v>145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25">
      <c r="A41" s="7" t="s">
        <v>146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25">
      <c r="A42" s="7" t="s">
        <v>147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25">
      <c r="A43" s="7" t="s">
        <v>148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25">
      <c r="A44" s="7" t="s">
        <v>149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25">
      <c r="A45" s="7" t="s">
        <v>150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25">
      <c r="A46" s="7" t="s">
        <v>112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25">
      <c r="A47" s="7" t="s">
        <v>113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25">
      <c r="A48" s="7" t="s">
        <v>114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25">
      <c r="A49" s="7" t="s">
        <v>115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25">
      <c r="A50" s="7" t="s">
        <v>116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25">
      <c r="A51" s="7" t="s">
        <v>117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25">
      <c r="A52" s="7" t="s">
        <v>118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25">
      <c r="A53" s="7" t="s">
        <v>119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25">
      <c r="A54" s="8" t="s">
        <v>120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abSelected="1" topLeftCell="A7" zoomScaleNormal="100" workbookViewId="0">
      <selection activeCell="C17" sqref="C17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0" t="s">
        <v>85</v>
      </c>
      <c r="B1" s="39" t="s">
        <v>167</v>
      </c>
    </row>
    <row r="2" spans="1:3" ht="18.75" x14ac:dyDescent="0.3">
      <c r="B2" s="38" t="s">
        <v>166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1"/>
    </row>
    <row r="7" spans="1:3" ht="15" x14ac:dyDescent="0.25">
      <c r="A7" s="3" t="s">
        <v>153</v>
      </c>
      <c r="B7" s="1"/>
    </row>
    <row r="10" spans="1:3" ht="23.25" x14ac:dyDescent="0.35">
      <c r="A10" s="17" t="s">
        <v>162</v>
      </c>
    </row>
    <row r="11" spans="1:3" ht="15" x14ac:dyDescent="0.25">
      <c r="A11" s="31" t="s">
        <v>86</v>
      </c>
      <c r="B11" s="16" t="s">
        <v>87</v>
      </c>
      <c r="C11" s="16" t="s">
        <v>88</v>
      </c>
    </row>
    <row r="12" spans="1:3" ht="15" x14ac:dyDescent="0.25">
      <c r="A12" s="31">
        <v>44927</v>
      </c>
      <c r="B12" s="16" t="s">
        <v>59</v>
      </c>
      <c r="C12" s="16">
        <v>200</v>
      </c>
    </row>
    <row r="13" spans="1:3" ht="15" x14ac:dyDescent="0.25">
      <c r="A13" s="31">
        <v>44928</v>
      </c>
      <c r="B13" s="16" t="s">
        <v>60</v>
      </c>
      <c r="C13" s="16" t="e">
        <v>#N/A</v>
      </c>
    </row>
    <row r="14" spans="1:3" ht="15" x14ac:dyDescent="0.25">
      <c r="A14" s="31">
        <v>44929</v>
      </c>
      <c r="B14" s="16" t="s">
        <v>61</v>
      </c>
      <c r="C14" s="16">
        <v>50</v>
      </c>
    </row>
    <row r="15" spans="1:3" ht="15" x14ac:dyDescent="0.25">
      <c r="A15" s="31">
        <v>44930</v>
      </c>
      <c r="B15" s="16" t="s">
        <v>62</v>
      </c>
      <c r="C15" s="16" t="e">
        <v>#N/A</v>
      </c>
    </row>
    <row r="16" spans="1:3" ht="15" x14ac:dyDescent="0.25">
      <c r="A16" s="31">
        <v>44931</v>
      </c>
      <c r="B16" s="16" t="s">
        <v>63</v>
      </c>
      <c r="C16" s="16">
        <v>10</v>
      </c>
    </row>
    <row r="17" spans="1:3" ht="15" x14ac:dyDescent="0.25">
      <c r="A17" s="31">
        <v>44932</v>
      </c>
      <c r="B17" s="16" t="s">
        <v>154</v>
      </c>
      <c r="C17" s="16">
        <v>150</v>
      </c>
    </row>
    <row r="18" spans="1:3" ht="15" x14ac:dyDescent="0.25">
      <c r="A18" s="31">
        <v>44933</v>
      </c>
      <c r="B18" s="16" t="s">
        <v>155</v>
      </c>
      <c r="C18" s="16">
        <v>80</v>
      </c>
    </row>
    <row r="19" spans="1:3" ht="15" x14ac:dyDescent="0.25">
      <c r="A19" s="31">
        <v>44934</v>
      </c>
      <c r="B19" s="16" t="s">
        <v>156</v>
      </c>
      <c r="C19" s="16" t="e">
        <v>#N/A</v>
      </c>
    </row>
    <row r="20" spans="1:3" ht="15" x14ac:dyDescent="0.25">
      <c r="A20" s="31">
        <v>44935</v>
      </c>
      <c r="B20" s="16" t="s">
        <v>157</v>
      </c>
      <c r="C20" s="16">
        <v>30</v>
      </c>
    </row>
    <row r="21" spans="1:3" ht="15" x14ac:dyDescent="0.25">
      <c r="A21" s="31">
        <v>44936</v>
      </c>
      <c r="B21" s="16" t="s">
        <v>158</v>
      </c>
      <c r="C21" s="16" t="e">
        <v>#N/A</v>
      </c>
    </row>
    <row r="22" spans="1:3" ht="15" x14ac:dyDescent="0.25">
      <c r="B22" s="16" t="s">
        <v>159</v>
      </c>
      <c r="C22" s="47" t="s">
        <v>178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/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0" t="s">
        <v>98</v>
      </c>
      <c r="B1" s="39" t="s">
        <v>175</v>
      </c>
    </row>
    <row r="3" spans="1:14" ht="15" x14ac:dyDescent="0.25">
      <c r="B3" s="1" t="s">
        <v>151</v>
      </c>
    </row>
    <row r="4" spans="1:14" ht="18.75" x14ac:dyDescent="0.3">
      <c r="A4" s="41" t="s">
        <v>53</v>
      </c>
      <c r="B4" s="1"/>
    </row>
    <row r="5" spans="1:14" ht="18.75" x14ac:dyDescent="0.3">
      <c r="A5" s="41" t="s">
        <v>153</v>
      </c>
      <c r="B5" s="1"/>
    </row>
    <row r="6" spans="1:14" ht="15" x14ac:dyDescent="0.25">
      <c r="A6" s="3"/>
      <c r="B6" s="1"/>
    </row>
    <row r="8" spans="1:14" ht="23.25" x14ac:dyDescent="0.35">
      <c r="A8" s="17" t="s">
        <v>162</v>
      </c>
      <c r="M8" s="17" t="s">
        <v>163</v>
      </c>
    </row>
    <row r="9" spans="1:14" ht="15" x14ac:dyDescent="0.2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5" x14ac:dyDescent="0.2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5" x14ac:dyDescent="0.2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5" x14ac:dyDescent="0.2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5" x14ac:dyDescent="0.2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5" x14ac:dyDescent="0.2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5" x14ac:dyDescent="0.2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5" x14ac:dyDescent="0.2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5" x14ac:dyDescent="0.2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5" x14ac:dyDescent="0.2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25" x14ac:dyDescent="0.35">
      <c r="A21" s="17" t="s">
        <v>168</v>
      </c>
    </row>
    <row r="22" spans="1:14" ht="15" x14ac:dyDescent="0.25">
      <c r="A22" s="13" t="s">
        <v>100</v>
      </c>
      <c r="B22" s="16" t="s">
        <v>101</v>
      </c>
      <c r="C22" s="15" t="s">
        <v>102</v>
      </c>
    </row>
    <row r="23" spans="1:14" ht="15" x14ac:dyDescent="0.25">
      <c r="A23" s="7">
        <v>10100</v>
      </c>
      <c r="B23" s="11">
        <v>10102</v>
      </c>
      <c r="C23" s="42"/>
    </row>
    <row r="24" spans="1:14" ht="15" x14ac:dyDescent="0.25">
      <c r="A24" s="7">
        <v>10100</v>
      </c>
      <c r="B24" s="11">
        <v>10104</v>
      </c>
      <c r="C24" s="42"/>
    </row>
    <row r="25" spans="1:14" ht="15" x14ac:dyDescent="0.25">
      <c r="A25" s="7">
        <v>10108</v>
      </c>
      <c r="B25" s="11">
        <v>10102</v>
      </c>
      <c r="C25" s="42"/>
    </row>
    <row r="26" spans="1:14" ht="15" x14ac:dyDescent="0.25">
      <c r="A26" s="7">
        <v>10100</v>
      </c>
      <c r="B26" s="11">
        <v>10106</v>
      </c>
      <c r="C26" s="42"/>
    </row>
    <row r="27" spans="1:14" ht="15" x14ac:dyDescent="0.25">
      <c r="A27" s="7">
        <v>10108</v>
      </c>
      <c r="B27" s="11">
        <v>10110</v>
      </c>
      <c r="C27" s="42"/>
    </row>
    <row r="28" spans="1:14" ht="15" x14ac:dyDescent="0.25">
      <c r="A28" s="7">
        <v>10102</v>
      </c>
      <c r="B28" s="11">
        <v>10104</v>
      </c>
      <c r="C28" s="42"/>
    </row>
    <row r="29" spans="1:14" ht="15" x14ac:dyDescent="0.25">
      <c r="A29" s="7">
        <v>10106</v>
      </c>
      <c r="B29" s="11">
        <v>10108</v>
      </c>
      <c r="C29" s="42"/>
    </row>
    <row r="30" spans="1:14" ht="15" x14ac:dyDescent="0.25">
      <c r="A30" s="7">
        <v>10102</v>
      </c>
      <c r="B30" s="11">
        <v>10106</v>
      </c>
      <c r="C30" s="42"/>
    </row>
    <row r="31" spans="1:14" ht="15" x14ac:dyDescent="0.25">
      <c r="A31" s="7">
        <v>10110</v>
      </c>
      <c r="B31" s="11">
        <v>10114</v>
      </c>
      <c r="C31" s="42"/>
    </row>
    <row r="32" spans="1:14" ht="15" x14ac:dyDescent="0.25">
      <c r="A32" s="7">
        <v>10104</v>
      </c>
      <c r="B32" s="11">
        <v>10106</v>
      </c>
      <c r="C32" s="42"/>
    </row>
    <row r="33" spans="1:3" ht="15" x14ac:dyDescent="0.25">
      <c r="A33" s="7">
        <v>10110</v>
      </c>
      <c r="B33" s="11">
        <v>10112</v>
      </c>
      <c r="C33" s="42"/>
    </row>
    <row r="34" spans="1:3" ht="15" x14ac:dyDescent="0.25">
      <c r="A34" s="7">
        <v>10100</v>
      </c>
      <c r="B34" s="11">
        <v>10114</v>
      </c>
      <c r="C34" s="42"/>
    </row>
    <row r="35" spans="1:3" ht="15" x14ac:dyDescent="0.25">
      <c r="A35" s="8">
        <v>10112</v>
      </c>
      <c r="B35" s="12">
        <v>10116</v>
      </c>
      <c r="C35" s="4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Pranav Angre</cp:lastModifiedBy>
  <dcterms:created xsi:type="dcterms:W3CDTF">2015-02-10T17:33:11Z</dcterms:created>
  <dcterms:modified xsi:type="dcterms:W3CDTF">2023-12-10T18:23:17Z</dcterms:modified>
</cp:coreProperties>
</file>